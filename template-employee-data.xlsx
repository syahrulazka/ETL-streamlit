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Data" sheetId="4" r:id="rId1"/>
    <sheet name="Mitra" sheetId="1" r:id="rId2"/>
    <sheet name="Mitra N" sheetId="3" r:id="rId3"/>
    <sheet name="Non Mitra" sheetId="2" r:id="rId4"/>
  </sheets>
  <calcPr calcId="144525"/>
</workbook>
</file>

<file path=xl/sharedStrings.xml><?xml version="1.0" encoding="utf-8"?>
<sst xmlns="http://schemas.openxmlformats.org/spreadsheetml/2006/main" count="374" uniqueCount="177">
  <si>
    <t>Periode</t>
  </si>
  <si>
    <t>Employee ID</t>
  </si>
  <si>
    <t>Employee Name</t>
  </si>
  <si>
    <t>Join Date</t>
  </si>
  <si>
    <t>EmpType</t>
  </si>
  <si>
    <t>Job Level Code</t>
  </si>
  <si>
    <t>Job Title</t>
  </si>
  <si>
    <t>Organization Code</t>
  </si>
  <si>
    <t>Organization Name</t>
  </si>
  <si>
    <t>Company Code</t>
  </si>
  <si>
    <t>Cost Center Code</t>
  </si>
  <si>
    <t>CC Code</t>
  </si>
  <si>
    <t>Status Emp Cod</t>
  </si>
  <si>
    <t>Lev Cod</t>
  </si>
  <si>
    <t>Lev Cod2</t>
  </si>
  <si>
    <t>BU</t>
  </si>
  <si>
    <t>New Location By CC</t>
  </si>
  <si>
    <t>Teritory</t>
  </si>
  <si>
    <t>By Loc By BU 3</t>
  </si>
  <si>
    <t>By Loc By BU 4</t>
  </si>
  <si>
    <t>Status</t>
  </si>
  <si>
    <t>Dec 21</t>
  </si>
  <si>
    <t>00100010044</t>
  </si>
  <si>
    <t>ARIS WURYANTO</t>
  </si>
  <si>
    <t>Tetap</t>
  </si>
  <si>
    <t>S</t>
  </si>
  <si>
    <t>Staff 24 SLOB</t>
  </si>
  <si>
    <t>C1206-SLOB-224</t>
  </si>
  <si>
    <t>Butchery</t>
  </si>
  <si>
    <t>ARI</t>
  </si>
  <si>
    <t>IDAA1900140</t>
  </si>
  <si>
    <t>IDAA19</t>
  </si>
  <si>
    <t>02</t>
  </si>
  <si>
    <t>Fresh</t>
  </si>
  <si>
    <t>Baru Solo</t>
  </si>
  <si>
    <t>Jawa Bali Nusra</t>
  </si>
  <si>
    <t>PKWTT</t>
  </si>
  <si>
    <t>00100010052</t>
  </si>
  <si>
    <t>IMAM SAHURI</t>
  </si>
  <si>
    <t>Staff Decoration SLOB</t>
  </si>
  <si>
    <t>C1206-SLOB-970</t>
  </si>
  <si>
    <t>Decoration</t>
  </si>
  <si>
    <t>IDAA1903700</t>
  </si>
  <si>
    <t>Supporting</t>
  </si>
  <si>
    <t>00100020014</t>
  </si>
  <si>
    <t>SLAMET WALUYO</t>
  </si>
  <si>
    <t>Staff Stock Control KBY</t>
  </si>
  <si>
    <t>C1102-KBY-880</t>
  </si>
  <si>
    <t>OSS</t>
  </si>
  <si>
    <t>IDPA0203710ID</t>
  </si>
  <si>
    <t>IDPA02</t>
  </si>
  <si>
    <t>Kebayoran - Supermarket</t>
  </si>
  <si>
    <t>Jakarta</t>
  </si>
  <si>
    <t>00100020102</t>
  </si>
  <si>
    <t>DIDIK PURWANTO</t>
  </si>
  <si>
    <t>TL 22 JBR</t>
  </si>
  <si>
    <t>C1305-JBR-222</t>
  </si>
  <si>
    <t>Fruit &amp; Vegetable</t>
  </si>
  <si>
    <t>IDAA0600120</t>
  </si>
  <si>
    <t>IDAA06</t>
  </si>
  <si>
    <t>Hayam Wuruk Jember</t>
  </si>
  <si>
    <t>HCM</t>
  </si>
  <si>
    <t>Period</t>
  </si>
  <si>
    <t>ID Card</t>
  </si>
  <si>
    <t>PIN</t>
  </si>
  <si>
    <t>Full Name</t>
  </si>
  <si>
    <t>Mitra</t>
  </si>
  <si>
    <t>Location Code</t>
  </si>
  <si>
    <t>Location Name</t>
  </si>
  <si>
    <t>Cost Code</t>
  </si>
  <si>
    <t>Cost Name</t>
  </si>
  <si>
    <t>BU Code</t>
  </si>
  <si>
    <t>Org Code</t>
  </si>
  <si>
    <t>Dept</t>
  </si>
  <si>
    <t>Gender</t>
  </si>
  <si>
    <t>Birth Date</t>
  </si>
  <si>
    <t>Terminate Date</t>
  </si>
  <si>
    <t>Jenis Karyawan</t>
  </si>
  <si>
    <t>Basic Salary</t>
  </si>
  <si>
    <t>Store Ops Code</t>
  </si>
  <si>
    <t>By Loc By BU</t>
  </si>
  <si>
    <t>Function</t>
  </si>
  <si>
    <t>Dec 22</t>
  </si>
  <si>
    <t>10422070101</t>
  </si>
  <si>
    <t>3526172508950005</t>
  </si>
  <si>
    <t>MOH.ZAINI</t>
  </si>
  <si>
    <t>EMPLOYEE CASHIER</t>
  </si>
  <si>
    <t>DETA SUKSES MAKMUR</t>
  </si>
  <si>
    <t>BUBUTAN JUNCTION SBY</t>
  </si>
  <si>
    <t>IDA028</t>
  </si>
  <si>
    <t>BUBUTAN JUNCTION SURABAYA</t>
  </si>
  <si>
    <t>BU0000130</t>
  </si>
  <si>
    <t>TERRITORY OUTSIDE STORE OPERATION</t>
  </si>
  <si>
    <t>BJ-05-990</t>
  </si>
  <si>
    <t>CASHIER</t>
  </si>
  <si>
    <t>M</t>
  </si>
  <si>
    <t>1995-08-25</t>
  </si>
  <si>
    <t>2022-07-23</t>
  </si>
  <si>
    <t>Bubutan Junction Surabaya</t>
  </si>
  <si>
    <t>Cashier</t>
  </si>
  <si>
    <t>10621100089</t>
  </si>
  <si>
    <t>3216060412930005</t>
  </si>
  <si>
    <t>SAIPUL</t>
  </si>
  <si>
    <t>DAILY WORKER</t>
  </si>
  <si>
    <t>KOP MANDIRI SEJAHTERA</t>
  </si>
  <si>
    <t>BKS JUANDA</t>
  </si>
  <si>
    <t>IDAA14</t>
  </si>
  <si>
    <t>BEKASI JUANDA</t>
  </si>
  <si>
    <t>BU0000086</t>
  </si>
  <si>
    <t>MAMI</t>
  </si>
  <si>
    <t>BKSJ-05-520</t>
  </si>
  <si>
    <t>1993-12-04</t>
  </si>
  <si>
    <t>2021-10-06</t>
  </si>
  <si>
    <t>D</t>
  </si>
  <si>
    <t>Food and Baverage</t>
  </si>
  <si>
    <t>Bekasi Juanda</t>
  </si>
  <si>
    <t>10622040012</t>
  </si>
  <si>
    <t>3216060905900012</t>
  </si>
  <si>
    <t>HARYADI PURNOMO</t>
  </si>
  <si>
    <t>1990-05-09</t>
  </si>
  <si>
    <t>2022-04-01</t>
  </si>
  <si>
    <t>Mar 25</t>
  </si>
  <si>
    <t>00025030040</t>
  </si>
  <si>
    <t>NURHAIDA</t>
  </si>
  <si>
    <t>21/03/2025</t>
  </si>
  <si>
    <t>Mitra Reg.DW</t>
  </si>
  <si>
    <t>OS</t>
  </si>
  <si>
    <t>Crew</t>
  </si>
  <si>
    <t>BD-05-540</t>
  </si>
  <si>
    <t>Oishiwa</t>
  </si>
  <si>
    <t>M-KMS</t>
  </si>
  <si>
    <t>IDA04600540</t>
  </si>
  <si>
    <t>IDA046</t>
  </si>
  <si>
    <t>22</t>
  </si>
  <si>
    <t>Emporium Pluit Mall</t>
  </si>
  <si>
    <t>Emporium Pluit MallFood and BaverageDW</t>
  </si>
  <si>
    <t>IDA046DW</t>
  </si>
  <si>
    <t>DW</t>
  </si>
  <si>
    <t>00025030041</t>
  </si>
  <si>
    <t>DEDE ADNA</t>
  </si>
  <si>
    <t>00025030042</t>
  </si>
  <si>
    <t>NUR ROHMAN</t>
  </si>
  <si>
    <t>00025030044</t>
  </si>
  <si>
    <t>DANU ARYA PUTRA</t>
  </si>
  <si>
    <t>Teritory Name</t>
  </si>
  <si>
    <t>Section</t>
  </si>
  <si>
    <t>HO/Non HO</t>
  </si>
  <si>
    <t>HO/Store</t>
  </si>
  <si>
    <t>BU/Supporting</t>
  </si>
  <si>
    <t>Oct 24</t>
  </si>
  <si>
    <t>12020100157</t>
  </si>
  <si>
    <t>3173066209011008</t>
  </si>
  <si>
    <t>ALIYA WATI</t>
  </si>
  <si>
    <t>SALESMAN</t>
  </si>
  <si>
    <t>KONSULTAN TOKO</t>
  </si>
  <si>
    <t>EMPORIUM PLUIT MALL</t>
  </si>
  <si>
    <t>BU0000083</t>
  </si>
  <si>
    <t>ELECTRONICS STORE OPERATION</t>
  </si>
  <si>
    <t>BD-05-400</t>
  </si>
  <si>
    <t>ELECTRONICS</t>
  </si>
  <si>
    <t>F</t>
  </si>
  <si>
    <t>2001-09-22</t>
  </si>
  <si>
    <t>2020-10-01</t>
  </si>
  <si>
    <t>Electronics</t>
  </si>
  <si>
    <t>Section 2</t>
  </si>
  <si>
    <t>Store</t>
  </si>
  <si>
    <t>Commercial</t>
  </si>
  <si>
    <t>12021030140</t>
  </si>
  <si>
    <t>3172016103930007</t>
  </si>
  <si>
    <t>ALIYAH - E - TIPA ARENA EPM</t>
  </si>
  <si>
    <t>1993-03-21</t>
  </si>
  <si>
    <t>2021-03-03</t>
  </si>
  <si>
    <t>12021030617</t>
  </si>
  <si>
    <t>3173045012840011</t>
  </si>
  <si>
    <t>RATNA</t>
  </si>
  <si>
    <t>1984-12-10</t>
  </si>
  <si>
    <t>2021-03-15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</si>
</sst>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[$-409]d\-mmm\-yy;@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" fillId="0" borderId="0" applyFill="0" applyProtection="0"/>
    <xf numFmtId="0" fontId="5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10" borderId="4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1" fillId="2" borderId="0" xfId="1" applyFont="1" applyFill="1" applyProtection="1"/>
    <xf numFmtId="0" fontId="3" fillId="3" borderId="0" xfId="1" applyFont="1" applyFill="1"/>
    <xf numFmtId="0" fontId="0" fillId="0" borderId="0" xfId="0" applyFill="1" applyAlignment="1"/>
    <xf numFmtId="17" fontId="0" fillId="2" borderId="0" xfId="0" applyNumberFormat="1" applyFill="1" applyAlignment="1"/>
    <xf numFmtId="0" fontId="0" fillId="3" borderId="0" xfId="0" applyFill="1" applyAlignment="1"/>
    <xf numFmtId="0" fontId="0" fillId="0" borderId="0" xfId="0" applyFill="1" applyAlignment="1"/>
    <xf numFmtId="15" fontId="0" fillId="0" borderId="0" xfId="0" applyNumberFormat="1" applyFill="1" applyAlignment="1"/>
    <xf numFmtId="0" fontId="2" fillId="0" borderId="0" xfId="0" applyFont="1" applyFill="1" applyAlignment="1">
      <alignment horizontal="center"/>
    </xf>
    <xf numFmtId="178" fontId="0" fillId="0" borderId="0" xfId="0" applyNumberFormat="1" applyFill="1" applyAlignment="1"/>
    <xf numFmtId="178" fontId="2" fillId="0" borderId="0" xfId="0" applyNumberFormat="1" applyFont="1" applyFill="1" applyAlignment="1">
      <alignment horizontal="center"/>
    </xf>
    <xf numFmtId="0" fontId="4" fillId="0" borderId="0" xfId="0" applyFont="1" applyFill="1" applyAlignment="1"/>
    <xf numFmtId="17" fontId="4" fillId="2" borderId="0" xfId="0" applyNumberFormat="1" applyFont="1" applyFill="1" applyAlignment="1"/>
    <xf numFmtId="0" fontId="4" fillId="3" borderId="0" xfId="0" applyFont="1" applyFill="1" applyAlignment="1"/>
    <xf numFmtId="17" fontId="4" fillId="2" borderId="0" xfId="0" applyNumberFormat="1" applyFont="1" applyFill="1" applyAlignment="1" quotePrefix="1"/>
    <xf numFmtId="17" fontId="0" fillId="2" borderId="0" xfId="0" applyNumberFormat="1" applyFill="1" applyAlignment="1" quotePrefix="1"/>
    <xf numFmtId="0" fontId="1" fillId="2" borderId="0" xfId="1" applyFont="1" applyFill="1" applyProtection="1" quotePrefix="1"/>
  </cellXfs>
  <cellStyles count="50">
    <cellStyle name="Normal" xfId="0" builtinId="0"/>
    <cellStyle name="Normal 9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selection activeCell="U2" sqref="U2:U5"/>
    </sheetView>
  </sheetViews>
  <sheetFormatPr defaultColWidth="8.8" defaultRowHeight="15" outlineLevelRow="4"/>
  <sheetData>
    <row r="1" spans="1:2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6" t="s">
        <v>18</v>
      </c>
      <c r="T1" s="16" t="s">
        <v>19</v>
      </c>
      <c r="U1" s="16" t="s">
        <v>20</v>
      </c>
    </row>
    <row r="2" spans="1:21">
      <c r="A2" s="17" t="s">
        <v>21</v>
      </c>
      <c r="B2" s="14" t="s">
        <v>22</v>
      </c>
      <c r="C2" s="14" t="s">
        <v>23</v>
      </c>
      <c r="D2" s="14"/>
      <c r="E2" s="14" t="s">
        <v>24</v>
      </c>
      <c r="F2" s="14" t="s">
        <v>25</v>
      </c>
      <c r="G2" s="14" t="s">
        <v>26</v>
      </c>
      <c r="H2" s="14" t="s">
        <v>27</v>
      </c>
      <c r="I2" s="14" t="s">
        <v>28</v>
      </c>
      <c r="J2" s="14" t="s">
        <v>29</v>
      </c>
      <c r="K2" s="14" t="s">
        <v>30</v>
      </c>
      <c r="L2" s="14" t="s">
        <v>31</v>
      </c>
      <c r="M2" s="14">
        <v>2</v>
      </c>
      <c r="N2" s="14" t="s">
        <v>32</v>
      </c>
      <c r="O2" s="14">
        <v>1</v>
      </c>
      <c r="P2" s="14" t="s">
        <v>33</v>
      </c>
      <c r="Q2" s="14" t="s">
        <v>34</v>
      </c>
      <c r="R2" s="14" t="s">
        <v>35</v>
      </c>
      <c r="S2" s="16" t="str">
        <f>$Q2&amp;$P2&amp;(IF(O2=0,0,1))</f>
        <v>Baru SoloFresh1</v>
      </c>
      <c r="T2" s="16" t="str">
        <f>L2&amp;(IF(O2=0,0,1))</f>
        <v>IDAA191</v>
      </c>
      <c r="U2" s="16" t="s">
        <v>36</v>
      </c>
    </row>
    <row r="3" spans="1:21">
      <c r="A3" s="17" t="s">
        <v>21</v>
      </c>
      <c r="B3" s="14" t="s">
        <v>37</v>
      </c>
      <c r="C3" s="14" t="s">
        <v>38</v>
      </c>
      <c r="D3" s="14"/>
      <c r="E3" s="14" t="s">
        <v>24</v>
      </c>
      <c r="F3" s="14" t="s">
        <v>25</v>
      </c>
      <c r="G3" s="14" t="s">
        <v>39</v>
      </c>
      <c r="H3" s="14" t="s">
        <v>40</v>
      </c>
      <c r="I3" s="14" t="s">
        <v>41</v>
      </c>
      <c r="J3" s="14" t="s">
        <v>29</v>
      </c>
      <c r="K3" s="14" t="s">
        <v>42</v>
      </c>
      <c r="L3" s="14" t="s">
        <v>31</v>
      </c>
      <c r="M3" s="14">
        <v>2</v>
      </c>
      <c r="N3" s="14" t="s">
        <v>32</v>
      </c>
      <c r="O3" s="14">
        <v>1</v>
      </c>
      <c r="P3" s="14" t="s">
        <v>43</v>
      </c>
      <c r="Q3" s="14" t="s">
        <v>34</v>
      </c>
      <c r="R3" s="14" t="s">
        <v>35</v>
      </c>
      <c r="S3" s="16" t="str">
        <f>$Q3&amp;$P3&amp;(IF(O3=0,0,1))</f>
        <v>Baru SoloSupporting1</v>
      </c>
      <c r="T3" s="16" t="str">
        <f>L3&amp;(IF(O3=0,0,1))</f>
        <v>IDAA191</v>
      </c>
      <c r="U3" s="16" t="s">
        <v>36</v>
      </c>
    </row>
    <row r="4" spans="1:21">
      <c r="A4" s="17" t="s">
        <v>21</v>
      </c>
      <c r="B4" s="14" t="s">
        <v>44</v>
      </c>
      <c r="C4" s="14" t="s">
        <v>45</v>
      </c>
      <c r="D4" s="14"/>
      <c r="E4" s="14" t="s">
        <v>24</v>
      </c>
      <c r="F4" s="14" t="s">
        <v>25</v>
      </c>
      <c r="G4" s="14" t="s">
        <v>46</v>
      </c>
      <c r="H4" s="14" t="s">
        <v>47</v>
      </c>
      <c r="I4" s="14" t="s">
        <v>48</v>
      </c>
      <c r="J4" s="14" t="s">
        <v>29</v>
      </c>
      <c r="K4" s="14" t="s">
        <v>49</v>
      </c>
      <c r="L4" s="14" t="s">
        <v>50</v>
      </c>
      <c r="M4" s="14">
        <v>2</v>
      </c>
      <c r="N4" s="14" t="s">
        <v>32</v>
      </c>
      <c r="O4" s="14">
        <v>1</v>
      </c>
      <c r="P4" s="14" t="s">
        <v>43</v>
      </c>
      <c r="Q4" s="14" t="s">
        <v>51</v>
      </c>
      <c r="R4" s="14" t="s">
        <v>52</v>
      </c>
      <c r="S4" s="16" t="str">
        <f>$Q4&amp;$P4&amp;(IF(O4=0,0,1))</f>
        <v>Kebayoran - SupermarketSupporting1</v>
      </c>
      <c r="T4" s="16" t="str">
        <f>L4&amp;(IF(O4=0,0,1))</f>
        <v>IDPA021</v>
      </c>
      <c r="U4" s="16" t="s">
        <v>36</v>
      </c>
    </row>
    <row r="5" spans="1:21">
      <c r="A5" s="17" t="s">
        <v>21</v>
      </c>
      <c r="B5" s="14" t="s">
        <v>53</v>
      </c>
      <c r="C5" s="14" t="s">
        <v>54</v>
      </c>
      <c r="D5" s="14"/>
      <c r="E5" s="14" t="s">
        <v>24</v>
      </c>
      <c r="F5" s="14" t="s">
        <v>25</v>
      </c>
      <c r="G5" s="14" t="s">
        <v>55</v>
      </c>
      <c r="H5" s="14" t="s">
        <v>56</v>
      </c>
      <c r="I5" s="14" t="s">
        <v>57</v>
      </c>
      <c r="J5" s="14" t="s">
        <v>29</v>
      </c>
      <c r="K5" s="14" t="s">
        <v>58</v>
      </c>
      <c r="L5" s="14" t="s">
        <v>59</v>
      </c>
      <c r="M5" s="14">
        <v>2</v>
      </c>
      <c r="N5" s="14" t="s">
        <v>32</v>
      </c>
      <c r="O5" s="14">
        <v>1</v>
      </c>
      <c r="P5" s="14" t="s">
        <v>33</v>
      </c>
      <c r="Q5" s="14" t="s">
        <v>60</v>
      </c>
      <c r="R5" s="14" t="s">
        <v>35</v>
      </c>
      <c r="S5" s="16" t="str">
        <f>$Q5&amp;$P5&amp;(IF(O5=0,0,1))</f>
        <v>Hayam Wuruk JemberFresh1</v>
      </c>
      <c r="T5" s="16" t="str">
        <f>L5&amp;(IF(O5=0,0,1))</f>
        <v>IDAA061</v>
      </c>
      <c r="U5" s="16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workbookViewId="0">
      <selection activeCell="A1" sqref="A1:AA5"/>
    </sheetView>
  </sheetViews>
  <sheetFormatPr defaultColWidth="8.8" defaultRowHeight="15" outlineLevelRow="4"/>
  <sheetData>
    <row r="1" spans="1:27">
      <c r="A1" s="9"/>
      <c r="B1" s="9" t="s">
        <v>61</v>
      </c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2"/>
      <c r="S1" s="9"/>
      <c r="T1" s="9"/>
      <c r="U1" s="9"/>
      <c r="V1" s="9"/>
      <c r="W1" s="9"/>
      <c r="X1" s="9"/>
      <c r="Y1" s="9"/>
      <c r="Z1" s="9"/>
      <c r="AA1" s="9"/>
    </row>
    <row r="2" spans="1:27">
      <c r="A2" s="9" t="s">
        <v>62</v>
      </c>
      <c r="B2" s="11" t="s">
        <v>1</v>
      </c>
      <c r="C2" s="11" t="s">
        <v>63</v>
      </c>
      <c r="D2" s="11" t="s">
        <v>64</v>
      </c>
      <c r="E2" s="11" t="s">
        <v>65</v>
      </c>
      <c r="F2" s="11" t="s">
        <v>6</v>
      </c>
      <c r="G2" s="11" t="s">
        <v>66</v>
      </c>
      <c r="H2" s="11" t="s">
        <v>67</v>
      </c>
      <c r="I2" s="11" t="s">
        <v>68</v>
      </c>
      <c r="J2" s="11" t="s">
        <v>69</v>
      </c>
      <c r="K2" s="11" t="s">
        <v>70</v>
      </c>
      <c r="L2" s="11" t="s">
        <v>71</v>
      </c>
      <c r="M2" s="11" t="s">
        <v>15</v>
      </c>
      <c r="N2" s="11" t="s">
        <v>72</v>
      </c>
      <c r="O2" s="11" t="s">
        <v>73</v>
      </c>
      <c r="P2" s="11" t="s">
        <v>74</v>
      </c>
      <c r="Q2" s="11" t="s">
        <v>75</v>
      </c>
      <c r="R2" s="13" t="s">
        <v>3</v>
      </c>
      <c r="S2" s="11" t="s">
        <v>76</v>
      </c>
      <c r="T2" s="11" t="s">
        <v>77</v>
      </c>
      <c r="U2" s="11" t="s">
        <v>78</v>
      </c>
      <c r="V2" s="8" t="s">
        <v>15</v>
      </c>
      <c r="W2" s="8" t="s">
        <v>16</v>
      </c>
      <c r="X2" s="8" t="s">
        <v>17</v>
      </c>
      <c r="Y2" s="8" t="s">
        <v>79</v>
      </c>
      <c r="Z2" s="8" t="s">
        <v>80</v>
      </c>
      <c r="AA2" s="8" t="s">
        <v>81</v>
      </c>
    </row>
    <row r="3" spans="1:27">
      <c r="A3" s="18" t="s">
        <v>82</v>
      </c>
      <c r="B3" s="9" t="s">
        <v>83</v>
      </c>
      <c r="C3" s="9" t="s">
        <v>84</v>
      </c>
      <c r="D3" s="9">
        <v>20141</v>
      </c>
      <c r="E3" s="9" t="s">
        <v>85</v>
      </c>
      <c r="F3" s="9" t="s">
        <v>86</v>
      </c>
      <c r="G3" s="9" t="s">
        <v>87</v>
      </c>
      <c r="H3" s="9">
        <v>10034</v>
      </c>
      <c r="I3" s="9" t="s">
        <v>88</v>
      </c>
      <c r="J3" s="9" t="s">
        <v>89</v>
      </c>
      <c r="K3" s="9" t="s">
        <v>90</v>
      </c>
      <c r="L3" s="9" t="s">
        <v>91</v>
      </c>
      <c r="M3" s="9" t="s">
        <v>92</v>
      </c>
      <c r="N3" s="9" t="s">
        <v>93</v>
      </c>
      <c r="O3" s="9" t="s">
        <v>94</v>
      </c>
      <c r="P3" s="9" t="s">
        <v>95</v>
      </c>
      <c r="Q3" s="9" t="s">
        <v>96</v>
      </c>
      <c r="R3" s="12" t="s">
        <v>97</v>
      </c>
      <c r="S3" s="9"/>
      <c r="T3" s="9" t="s">
        <v>95</v>
      </c>
      <c r="U3" s="9">
        <v>4375480</v>
      </c>
      <c r="V3" s="9" t="s">
        <v>43</v>
      </c>
      <c r="W3" s="9" t="s">
        <v>98</v>
      </c>
      <c r="X3" s="9" t="s">
        <v>35</v>
      </c>
      <c r="Y3" s="8" t="str">
        <f>J3&amp;T3</f>
        <v>IDA028M</v>
      </c>
      <c r="Z3" s="8" t="str">
        <f>W3&amp;V3&amp;T3</f>
        <v>Bubutan Junction SurabayaSupportingM</v>
      </c>
      <c r="AA3" s="9" t="s">
        <v>99</v>
      </c>
    </row>
    <row r="4" spans="1:27">
      <c r="A4" s="18" t="s">
        <v>82</v>
      </c>
      <c r="B4" s="9" t="s">
        <v>100</v>
      </c>
      <c r="C4" s="9" t="s">
        <v>101</v>
      </c>
      <c r="D4" s="9">
        <v>18860</v>
      </c>
      <c r="E4" s="9" t="s">
        <v>102</v>
      </c>
      <c r="F4" s="9" t="s">
        <v>103</v>
      </c>
      <c r="G4" s="9" t="s">
        <v>104</v>
      </c>
      <c r="H4" s="9">
        <v>40014</v>
      </c>
      <c r="I4" s="9" t="s">
        <v>105</v>
      </c>
      <c r="J4" s="9" t="s">
        <v>106</v>
      </c>
      <c r="K4" s="9" t="s">
        <v>107</v>
      </c>
      <c r="L4" s="9" t="s">
        <v>108</v>
      </c>
      <c r="M4" s="9" t="s">
        <v>109</v>
      </c>
      <c r="N4" s="9" t="s">
        <v>110</v>
      </c>
      <c r="O4" s="9" t="s">
        <v>109</v>
      </c>
      <c r="P4" s="9" t="s">
        <v>95</v>
      </c>
      <c r="Q4" s="9" t="s">
        <v>111</v>
      </c>
      <c r="R4" s="12" t="s">
        <v>112</v>
      </c>
      <c r="S4" s="9"/>
      <c r="T4" s="9" t="s">
        <v>113</v>
      </c>
      <c r="U4" s="9">
        <v>192676</v>
      </c>
      <c r="V4" s="9" t="s">
        <v>114</v>
      </c>
      <c r="W4" s="9" t="s">
        <v>115</v>
      </c>
      <c r="X4" s="9" t="s">
        <v>52</v>
      </c>
      <c r="Y4" s="8" t="str">
        <f>J4&amp;T4</f>
        <v>IDAA14D</v>
      </c>
      <c r="Z4" s="8" t="str">
        <f>W4&amp;V4&amp;T4</f>
        <v>Bekasi JuandaFood and BaverageD</v>
      </c>
      <c r="AA4" s="9" t="s">
        <v>109</v>
      </c>
    </row>
    <row r="5" spans="1:27">
      <c r="A5" s="18" t="s">
        <v>82</v>
      </c>
      <c r="B5" s="9" t="s">
        <v>116</v>
      </c>
      <c r="C5" s="9" t="s">
        <v>117</v>
      </c>
      <c r="D5" s="9">
        <v>19232</v>
      </c>
      <c r="E5" s="9" t="s">
        <v>118</v>
      </c>
      <c r="F5" s="9" t="s">
        <v>103</v>
      </c>
      <c r="G5" s="9" t="s">
        <v>104</v>
      </c>
      <c r="H5" s="9">
        <v>40014</v>
      </c>
      <c r="I5" s="9" t="s">
        <v>105</v>
      </c>
      <c r="J5" s="9" t="s">
        <v>106</v>
      </c>
      <c r="K5" s="9" t="s">
        <v>107</v>
      </c>
      <c r="L5" s="9" t="s">
        <v>108</v>
      </c>
      <c r="M5" s="9" t="s">
        <v>109</v>
      </c>
      <c r="N5" s="9" t="s">
        <v>110</v>
      </c>
      <c r="O5" s="9" t="s">
        <v>109</v>
      </c>
      <c r="P5" s="9" t="s">
        <v>95</v>
      </c>
      <c r="Q5" s="9" t="s">
        <v>119</v>
      </c>
      <c r="R5" s="12" t="s">
        <v>120</v>
      </c>
      <c r="S5" s="9"/>
      <c r="T5" s="9" t="s">
        <v>113</v>
      </c>
      <c r="U5" s="9">
        <v>192676</v>
      </c>
      <c r="V5" s="9" t="s">
        <v>114</v>
      </c>
      <c r="W5" s="9" t="s">
        <v>115</v>
      </c>
      <c r="X5" s="9" t="s">
        <v>52</v>
      </c>
      <c r="Y5" s="8" t="str">
        <f>J5&amp;T5</f>
        <v>IDAA14D</v>
      </c>
      <c r="Z5" s="8" t="str">
        <f>W5&amp;V5&amp;T5</f>
        <v>Bekasi JuandaFood and BaverageD</v>
      </c>
      <c r="AA5" s="9" t="s">
        <v>109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S2" sqref="S2:U5"/>
    </sheetView>
  </sheetViews>
  <sheetFormatPr defaultColWidth="8.8" defaultRowHeight="15" outlineLevelRow="4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</row>
    <row r="2" spans="1:21">
      <c r="A2" s="18" t="s">
        <v>121</v>
      </c>
      <c r="B2" s="6" t="s">
        <v>122</v>
      </c>
      <c r="C2" s="6" t="s">
        <v>123</v>
      </c>
      <c r="D2" s="6" t="s">
        <v>124</v>
      </c>
      <c r="E2" s="6" t="s">
        <v>125</v>
      </c>
      <c r="F2" s="6" t="s">
        <v>126</v>
      </c>
      <c r="G2" s="6" t="s">
        <v>127</v>
      </c>
      <c r="H2" s="6" t="s">
        <v>128</v>
      </c>
      <c r="I2" s="6" t="s">
        <v>129</v>
      </c>
      <c r="J2" s="6" t="s">
        <v>130</v>
      </c>
      <c r="K2" s="6" t="s">
        <v>131</v>
      </c>
      <c r="L2" s="6" t="s">
        <v>132</v>
      </c>
      <c r="M2" s="6">
        <v>4</v>
      </c>
      <c r="N2" s="6" t="s">
        <v>133</v>
      </c>
      <c r="O2" s="6">
        <v>3</v>
      </c>
      <c r="P2" s="6" t="s">
        <v>114</v>
      </c>
      <c r="Q2" s="6" t="s">
        <v>134</v>
      </c>
      <c r="R2" s="6" t="s">
        <v>52</v>
      </c>
      <c r="S2" s="8" t="s">
        <v>135</v>
      </c>
      <c r="T2" s="8" t="s">
        <v>136</v>
      </c>
      <c r="U2" s="8" t="s">
        <v>137</v>
      </c>
    </row>
    <row r="3" spans="1:21">
      <c r="A3" s="18" t="s">
        <v>121</v>
      </c>
      <c r="B3" s="6" t="s">
        <v>138</v>
      </c>
      <c r="C3" s="6" t="s">
        <v>139</v>
      </c>
      <c r="D3" s="6" t="s">
        <v>124</v>
      </c>
      <c r="E3" s="6" t="s">
        <v>125</v>
      </c>
      <c r="F3" s="6" t="s">
        <v>126</v>
      </c>
      <c r="G3" s="6" t="s">
        <v>127</v>
      </c>
      <c r="H3" s="6" t="s">
        <v>128</v>
      </c>
      <c r="I3" s="6" t="s">
        <v>129</v>
      </c>
      <c r="J3" s="6" t="s">
        <v>130</v>
      </c>
      <c r="K3" s="6" t="s">
        <v>131</v>
      </c>
      <c r="L3" s="6" t="s">
        <v>132</v>
      </c>
      <c r="M3" s="6">
        <v>4</v>
      </c>
      <c r="N3" s="6" t="s">
        <v>133</v>
      </c>
      <c r="O3" s="6">
        <v>3</v>
      </c>
      <c r="P3" s="6" t="s">
        <v>114</v>
      </c>
      <c r="Q3" s="6" t="s">
        <v>134</v>
      </c>
      <c r="R3" s="6" t="s">
        <v>52</v>
      </c>
      <c r="S3" s="8" t="s">
        <v>135</v>
      </c>
      <c r="T3" s="8" t="s">
        <v>136</v>
      </c>
      <c r="U3" s="8" t="s">
        <v>137</v>
      </c>
    </row>
    <row r="4" spans="1:21">
      <c r="A4" s="18" t="s">
        <v>121</v>
      </c>
      <c r="B4" s="6" t="s">
        <v>140</v>
      </c>
      <c r="C4" s="6" t="s">
        <v>141</v>
      </c>
      <c r="D4" s="6" t="s">
        <v>124</v>
      </c>
      <c r="E4" s="6" t="s">
        <v>125</v>
      </c>
      <c r="F4" s="6" t="s">
        <v>126</v>
      </c>
      <c r="G4" s="6" t="s">
        <v>127</v>
      </c>
      <c r="H4" s="6" t="s">
        <v>128</v>
      </c>
      <c r="I4" s="6" t="s">
        <v>129</v>
      </c>
      <c r="J4" s="6" t="s">
        <v>130</v>
      </c>
      <c r="K4" s="6" t="s">
        <v>131</v>
      </c>
      <c r="L4" s="6" t="s">
        <v>132</v>
      </c>
      <c r="M4" s="6">
        <v>4</v>
      </c>
      <c r="N4" s="6" t="s">
        <v>133</v>
      </c>
      <c r="O4" s="6">
        <v>3</v>
      </c>
      <c r="P4" s="6" t="s">
        <v>114</v>
      </c>
      <c r="Q4" s="6" t="s">
        <v>134</v>
      </c>
      <c r="R4" s="6" t="s">
        <v>52</v>
      </c>
      <c r="S4" s="8" t="s">
        <v>135</v>
      </c>
      <c r="T4" s="8" t="s">
        <v>136</v>
      </c>
      <c r="U4" s="8" t="s">
        <v>137</v>
      </c>
    </row>
    <row r="5" spans="1:21">
      <c r="A5" s="18" t="s">
        <v>121</v>
      </c>
      <c r="B5" s="6" t="s">
        <v>142</v>
      </c>
      <c r="C5" s="6" t="s">
        <v>143</v>
      </c>
      <c r="D5" s="6" t="s">
        <v>124</v>
      </c>
      <c r="E5" s="6" t="s">
        <v>125</v>
      </c>
      <c r="F5" s="6" t="s">
        <v>126</v>
      </c>
      <c r="G5" s="6" t="s">
        <v>127</v>
      </c>
      <c r="H5" s="6" t="s">
        <v>128</v>
      </c>
      <c r="I5" s="6" t="s">
        <v>129</v>
      </c>
      <c r="J5" s="6" t="s">
        <v>130</v>
      </c>
      <c r="K5" s="6" t="s">
        <v>131</v>
      </c>
      <c r="L5" s="6" t="s">
        <v>132</v>
      </c>
      <c r="M5" s="6">
        <v>4</v>
      </c>
      <c r="N5" s="6" t="s">
        <v>133</v>
      </c>
      <c r="O5" s="6">
        <v>3</v>
      </c>
      <c r="P5" s="6" t="s">
        <v>114</v>
      </c>
      <c r="Q5" s="6" t="s">
        <v>134</v>
      </c>
      <c r="R5" s="6" t="s">
        <v>52</v>
      </c>
      <c r="S5" s="8" t="s">
        <v>135</v>
      </c>
      <c r="T5" s="8" t="s">
        <v>136</v>
      </c>
      <c r="U5" s="8" t="s">
        <v>137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workbookViewId="0">
      <selection activeCell="A1" sqref="A1:AB5"/>
    </sheetView>
  </sheetViews>
  <sheetFormatPr defaultColWidth="8.8" defaultRowHeight="15" outlineLevelRow="4"/>
  <sheetData>
    <row r="1" spans="1:28">
      <c r="A1" s="1"/>
      <c r="B1" s="1"/>
      <c r="C1" s="1" t="s">
        <v>61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62</v>
      </c>
      <c r="B2" s="3" t="s">
        <v>1</v>
      </c>
      <c r="C2" s="3" t="s">
        <v>63</v>
      </c>
      <c r="D2" s="3" t="s">
        <v>64</v>
      </c>
      <c r="E2" s="3" t="s">
        <v>65</v>
      </c>
      <c r="F2" s="3" t="s">
        <v>6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71</v>
      </c>
      <c r="M2" s="3" t="s">
        <v>15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3</v>
      </c>
      <c r="S2" s="3" t="s">
        <v>76</v>
      </c>
      <c r="T2" s="3" t="s">
        <v>77</v>
      </c>
      <c r="U2" s="3" t="s">
        <v>78</v>
      </c>
      <c r="V2" s="5" t="s">
        <v>15</v>
      </c>
      <c r="W2" s="5" t="s">
        <v>16</v>
      </c>
      <c r="X2" s="5" t="s">
        <v>144</v>
      </c>
      <c r="Y2" s="5" t="s">
        <v>145</v>
      </c>
      <c r="Z2" s="5" t="s">
        <v>146</v>
      </c>
      <c r="AA2" s="5" t="s">
        <v>147</v>
      </c>
      <c r="AB2" s="5" t="s">
        <v>148</v>
      </c>
    </row>
    <row r="3" spans="1:28">
      <c r="A3" s="19" t="s">
        <v>149</v>
      </c>
      <c r="B3" s="1" t="s">
        <v>150</v>
      </c>
      <c r="C3" s="1" t="s">
        <v>151</v>
      </c>
      <c r="D3" s="1">
        <v>23162</v>
      </c>
      <c r="E3" s="1" t="s">
        <v>152</v>
      </c>
      <c r="F3" s="1" t="s">
        <v>153</v>
      </c>
      <c r="G3" s="1" t="s">
        <v>154</v>
      </c>
      <c r="H3" s="1">
        <v>10057</v>
      </c>
      <c r="I3" s="1" t="s">
        <v>155</v>
      </c>
      <c r="J3" s="1" t="s">
        <v>132</v>
      </c>
      <c r="K3" s="1" t="s">
        <v>155</v>
      </c>
      <c r="L3" s="1" t="s">
        <v>156</v>
      </c>
      <c r="M3" s="1" t="s">
        <v>157</v>
      </c>
      <c r="N3" s="1" t="s">
        <v>158</v>
      </c>
      <c r="O3" s="1" t="s">
        <v>159</v>
      </c>
      <c r="P3" s="1" t="s">
        <v>160</v>
      </c>
      <c r="Q3" s="1" t="s">
        <v>161</v>
      </c>
      <c r="R3" s="1" t="s">
        <v>162</v>
      </c>
      <c r="S3" s="1"/>
      <c r="T3" s="1" t="s">
        <v>95</v>
      </c>
      <c r="U3" s="1">
        <v>0</v>
      </c>
      <c r="V3" s="1" t="s">
        <v>163</v>
      </c>
      <c r="W3" s="1" t="s">
        <v>134</v>
      </c>
      <c r="X3" s="1" t="s">
        <v>52</v>
      </c>
      <c r="Y3" s="1" t="s">
        <v>164</v>
      </c>
      <c r="Z3" s="1" t="s">
        <v>165</v>
      </c>
      <c r="AA3" s="1" t="s">
        <v>165</v>
      </c>
      <c r="AB3" s="1" t="s">
        <v>166</v>
      </c>
    </row>
    <row r="4" spans="1:28">
      <c r="A4" s="19" t="s">
        <v>149</v>
      </c>
      <c r="B4" s="1" t="s">
        <v>167</v>
      </c>
      <c r="C4" s="1" t="s">
        <v>168</v>
      </c>
      <c r="D4" s="1">
        <v>17083</v>
      </c>
      <c r="E4" s="1" t="s">
        <v>169</v>
      </c>
      <c r="F4" s="1" t="s">
        <v>153</v>
      </c>
      <c r="G4" s="1" t="s">
        <v>154</v>
      </c>
      <c r="H4" s="1">
        <v>10057</v>
      </c>
      <c r="I4" s="1" t="s">
        <v>155</v>
      </c>
      <c r="J4" s="1" t="s">
        <v>132</v>
      </c>
      <c r="K4" s="1" t="s">
        <v>155</v>
      </c>
      <c r="L4" s="1" t="s">
        <v>156</v>
      </c>
      <c r="M4" s="1" t="s">
        <v>157</v>
      </c>
      <c r="N4" s="1" t="s">
        <v>158</v>
      </c>
      <c r="O4" s="1" t="s">
        <v>159</v>
      </c>
      <c r="P4" s="1" t="s">
        <v>160</v>
      </c>
      <c r="Q4" s="1" t="s">
        <v>170</v>
      </c>
      <c r="R4" s="1" t="s">
        <v>171</v>
      </c>
      <c r="S4" s="1"/>
      <c r="T4" s="1" t="s">
        <v>95</v>
      </c>
      <c r="U4" s="1">
        <v>0</v>
      </c>
      <c r="V4" s="1" t="s">
        <v>163</v>
      </c>
      <c r="W4" s="1" t="s">
        <v>134</v>
      </c>
      <c r="X4" s="1" t="s">
        <v>52</v>
      </c>
      <c r="Y4" s="1" t="s">
        <v>164</v>
      </c>
      <c r="Z4" s="1" t="s">
        <v>165</v>
      </c>
      <c r="AA4" s="1" t="s">
        <v>165</v>
      </c>
      <c r="AB4" s="1" t="s">
        <v>166</v>
      </c>
    </row>
    <row r="5" spans="1:28">
      <c r="A5" s="19" t="s">
        <v>149</v>
      </c>
      <c r="B5" s="1" t="s">
        <v>172</v>
      </c>
      <c r="C5" s="1" t="s">
        <v>173</v>
      </c>
      <c r="D5" s="1">
        <v>23164</v>
      </c>
      <c r="E5" s="1" t="s">
        <v>174</v>
      </c>
      <c r="F5" s="1" t="s">
        <v>153</v>
      </c>
      <c r="G5" s="1" t="s">
        <v>154</v>
      </c>
      <c r="H5" s="1">
        <v>10057</v>
      </c>
      <c r="I5" s="1" t="s">
        <v>155</v>
      </c>
      <c r="J5" s="1" t="s">
        <v>132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175</v>
      </c>
      <c r="R5" s="1" t="s">
        <v>176</v>
      </c>
      <c r="S5" s="1"/>
      <c r="T5" s="1" t="s">
        <v>95</v>
      </c>
      <c r="U5" s="1">
        <v>0</v>
      </c>
      <c r="V5" s="1" t="s">
        <v>163</v>
      </c>
      <c r="W5" s="1" t="s">
        <v>134</v>
      </c>
      <c r="X5" s="1" t="s">
        <v>52</v>
      </c>
      <c r="Y5" s="1" t="s">
        <v>164</v>
      </c>
      <c r="Z5" s="1" t="s">
        <v>165</v>
      </c>
      <c r="AA5" s="1" t="s">
        <v>165</v>
      </c>
      <c r="AB5" s="1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Mitra</vt:lpstr>
      <vt:lpstr>Mitra N</vt:lpstr>
      <vt:lpstr>Non Mitra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syahrulazka</dc:creator>
  <cp:lastModifiedBy>syahrulazka</cp:lastModifiedBy>
  <dcterms:created xsi:type="dcterms:W3CDTF">2026-01-22T21:12:00Z</dcterms:created>
  <dcterms:modified xsi:type="dcterms:W3CDTF">2026-01-22T14:59:40Z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